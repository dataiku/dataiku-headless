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department</t>
        </is>
      </c>
      <c r="C1" t="inlineStr">
        <is>
          <t>category</t>
        </is>
      </c>
      <c r="D1" t="inlineStr">
        <is>
          <t>amount</t>
        </is>
      </c>
      <c r="E1" t="inlineStr">
        <is>
          <t>vendor</t>
        </is>
      </c>
    </row>
    <row r="2">
      <c r="A2" t="inlineStr">
        <is>
          <t>2025-12-13</t>
        </is>
      </c>
      <c r="B2" t="inlineStr">
        <is>
          <t>Engineering</t>
        </is>
      </c>
      <c r="C2" t="inlineStr">
        <is>
          <t>Travel</t>
        </is>
      </c>
      <c r="D2" t="n">
        <v>4775.28</v>
      </c>
      <c r="E2" t="inlineStr">
        <is>
          <t>DataServ</t>
        </is>
      </c>
    </row>
    <row r="3">
      <c r="A3" t="inlineStr">
        <is>
          <t>2025-11-23</t>
        </is>
      </c>
      <c r="B3" t="inlineStr">
        <is>
          <t>Operations</t>
        </is>
      </c>
      <c r="C3" t="inlineStr">
        <is>
          <t>Office Supplies</t>
        </is>
      </c>
      <c r="D3" t="n">
        <v>316.38</v>
      </c>
      <c r="E3" t="inlineStr">
        <is>
          <t>TechCorp</t>
        </is>
      </c>
    </row>
    <row r="4">
      <c r="A4" t="inlineStr">
        <is>
          <t>2025-04-21</t>
        </is>
      </c>
      <c r="B4" t="inlineStr">
        <is>
          <t>Sales</t>
        </is>
      </c>
      <c r="C4" t="inlineStr">
        <is>
          <t>Hardware</t>
        </is>
      </c>
      <c r="D4" t="n">
        <v>3584.98</v>
      </c>
      <c r="E4" t="inlineStr">
        <is>
          <t>CloudVend</t>
        </is>
      </c>
    </row>
    <row r="5">
      <c r="A5" t="inlineStr">
        <is>
          <t>2025-02-25</t>
        </is>
      </c>
      <c r="B5" t="inlineStr">
        <is>
          <t>Engineering</t>
        </is>
      </c>
      <c r="C5" t="inlineStr">
        <is>
          <t>Consulting</t>
        </is>
      </c>
      <c r="D5" t="n">
        <v>17962.03</v>
      </c>
      <c r="E5" t="inlineStr">
        <is>
          <t>TravelPro</t>
        </is>
      </c>
    </row>
    <row r="6">
      <c r="A6" t="inlineStr">
        <is>
          <t>2025-01-02</t>
        </is>
      </c>
      <c r="B6" t="inlineStr">
        <is>
          <t>Sales</t>
        </is>
      </c>
      <c r="C6" t="inlineStr">
        <is>
          <t>Software</t>
        </is>
      </c>
      <c r="D6" t="n">
        <v>5697.72</v>
      </c>
      <c r="E6" t="inlineStr">
        <is>
          <t>OfficeHub</t>
        </is>
      </c>
    </row>
    <row r="7">
      <c r="A7" t="inlineStr">
        <is>
          <t>2025-07-05</t>
        </is>
      </c>
      <c r="B7" t="inlineStr">
        <is>
          <t>Marketing</t>
        </is>
      </c>
      <c r="C7" t="inlineStr">
        <is>
          <t>Office Supplies</t>
        </is>
      </c>
      <c r="D7" t="n">
        <v>291.65</v>
      </c>
      <c r="E7" t="inlineStr">
        <is>
          <t>DataServ</t>
        </is>
      </c>
    </row>
    <row r="8">
      <c r="A8" t="inlineStr">
        <is>
          <t>2025-03-06</t>
        </is>
      </c>
      <c r="B8" t="inlineStr">
        <is>
          <t>Marketing</t>
        </is>
      </c>
      <c r="C8" t="inlineStr">
        <is>
          <t>Software</t>
        </is>
      </c>
      <c r="D8" t="n">
        <v>9485.799999999999</v>
      </c>
      <c r="E8" t="inlineStr">
        <is>
          <t>DataServ</t>
        </is>
      </c>
    </row>
    <row r="9">
      <c r="A9" t="inlineStr">
        <is>
          <t>2025-04-16</t>
        </is>
      </c>
      <c r="B9" t="inlineStr">
        <is>
          <t>Finance</t>
        </is>
      </c>
      <c r="C9" t="inlineStr">
        <is>
          <t>Hardware</t>
        </is>
      </c>
      <c r="D9" t="n">
        <v>3796.97</v>
      </c>
      <c r="E9" t="inlineStr">
        <is>
          <t>ConsultMax</t>
        </is>
      </c>
    </row>
    <row r="10">
      <c r="A10" t="inlineStr">
        <is>
          <t>2025-05-15</t>
        </is>
      </c>
      <c r="B10" t="inlineStr">
        <is>
          <t>Sales</t>
        </is>
      </c>
      <c r="C10" t="inlineStr">
        <is>
          <t>Training</t>
        </is>
      </c>
      <c r="D10" t="n">
        <v>9039.629999999999</v>
      </c>
      <c r="E10" t="inlineStr">
        <is>
          <t>TechCorp</t>
        </is>
      </c>
    </row>
    <row r="11">
      <c r="A11" t="inlineStr">
        <is>
          <t>2025-08-10</t>
        </is>
      </c>
      <c r="B11" t="inlineStr">
        <is>
          <t>Finance</t>
        </is>
      </c>
      <c r="C11" t="inlineStr">
        <is>
          <t>Hardware</t>
        </is>
      </c>
      <c r="D11" t="n">
        <v>3645.49</v>
      </c>
      <c r="E11" t="inlineStr">
        <is>
          <t>CloudVend</t>
        </is>
      </c>
    </row>
    <row r="12">
      <c r="A12" t="inlineStr">
        <is>
          <t>2025-06-19</t>
        </is>
      </c>
      <c r="B12" t="inlineStr">
        <is>
          <t>Sales</t>
        </is>
      </c>
      <c r="C12" t="inlineStr">
        <is>
          <t>Training</t>
        </is>
      </c>
      <c r="D12" t="n">
        <v>7057.98</v>
      </c>
      <c r="E12" t="inlineStr">
        <is>
          <t>DataServ</t>
        </is>
      </c>
    </row>
    <row r="13">
      <c r="A13" t="inlineStr">
        <is>
          <t>2025-08-28</t>
        </is>
      </c>
      <c r="B13" t="inlineStr">
        <is>
          <t>Sales</t>
        </is>
      </c>
      <c r="C13" t="inlineStr">
        <is>
          <t>Hardware</t>
        </is>
      </c>
      <c r="D13" t="n">
        <v>6856.02</v>
      </c>
      <c r="E13" t="inlineStr">
        <is>
          <t>DataServ</t>
        </is>
      </c>
    </row>
    <row r="14">
      <c r="A14" t="inlineStr">
        <is>
          <t>2025-02-08</t>
        </is>
      </c>
      <c r="B14" t="inlineStr">
        <is>
          <t>Operations</t>
        </is>
      </c>
      <c r="C14" t="inlineStr">
        <is>
          <t>Office Supplies</t>
        </is>
      </c>
      <c r="D14" t="n">
        <v>295.91</v>
      </c>
      <c r="E14" t="inlineStr">
        <is>
          <t>LearnFast</t>
        </is>
      </c>
    </row>
    <row r="15">
      <c r="A15" t="inlineStr">
        <is>
          <t>2025-12-10</t>
        </is>
      </c>
      <c r="B15" t="inlineStr">
        <is>
          <t>Engineering</t>
        </is>
      </c>
      <c r="C15" t="inlineStr">
        <is>
          <t>Training</t>
        </is>
      </c>
      <c r="D15" t="n">
        <v>3107.56</v>
      </c>
      <c r="E15" t="inlineStr">
        <is>
          <t>DataServ</t>
        </is>
      </c>
    </row>
    <row r="16">
      <c r="A16" t="inlineStr">
        <is>
          <t>2025-10-28</t>
        </is>
      </c>
      <c r="B16" t="inlineStr">
        <is>
          <t>Engineering</t>
        </is>
      </c>
      <c r="C16" t="inlineStr">
        <is>
          <t>Office Supplies</t>
        </is>
      </c>
      <c r="D16" t="n">
        <v>419.76</v>
      </c>
      <c r="E16" t="inlineStr">
        <is>
          <t>NetSolutions</t>
        </is>
      </c>
    </row>
    <row r="17">
      <c r="A17" t="inlineStr">
        <is>
          <t>2025-05-25</t>
        </is>
      </c>
      <c r="B17" t="inlineStr">
        <is>
          <t>Marketing</t>
        </is>
      </c>
      <c r="C17" t="inlineStr">
        <is>
          <t>Office Supplies</t>
        </is>
      </c>
      <c r="D17" t="n">
        <v>125.12</v>
      </c>
      <c r="E17" t="inlineStr">
        <is>
          <t>LearnFast</t>
        </is>
      </c>
    </row>
    <row r="18">
      <c r="A18" t="inlineStr">
        <is>
          <t>2025-04-20</t>
        </is>
      </c>
      <c r="B18" t="inlineStr">
        <is>
          <t>Sales</t>
        </is>
      </c>
      <c r="C18" t="inlineStr">
        <is>
          <t>Training</t>
        </is>
      </c>
      <c r="D18" t="n">
        <v>6468.36</v>
      </c>
      <c r="E18" t="inlineStr">
        <is>
          <t>TravelPro</t>
        </is>
      </c>
    </row>
    <row r="19">
      <c r="A19" t="inlineStr">
        <is>
          <t>2025-11-21</t>
        </is>
      </c>
      <c r="B19" t="inlineStr">
        <is>
          <t>Engineering</t>
        </is>
      </c>
      <c r="C19" t="inlineStr">
        <is>
          <t>Travel</t>
        </is>
      </c>
      <c r="D19" t="n">
        <v>263.49</v>
      </c>
      <c r="E19" t="inlineStr">
        <is>
          <t>NetSolutions</t>
        </is>
      </c>
    </row>
    <row r="20">
      <c r="A20" t="inlineStr">
        <is>
          <t>2025-06-24</t>
        </is>
      </c>
      <c r="B20" t="inlineStr">
        <is>
          <t>Marketing</t>
        </is>
      </c>
      <c r="C20" t="inlineStr">
        <is>
          <t>Software</t>
        </is>
      </c>
      <c r="D20" t="n">
        <v>5237.43</v>
      </c>
      <c r="E20" t="inlineStr">
        <is>
          <t>OfficeHub</t>
        </is>
      </c>
    </row>
    <row r="21">
      <c r="A21" t="inlineStr">
        <is>
          <t>2025-07-06</t>
        </is>
      </c>
      <c r="B21" t="inlineStr">
        <is>
          <t>Marketing</t>
        </is>
      </c>
      <c r="C21" t="inlineStr">
        <is>
          <t>Hardware</t>
        </is>
      </c>
      <c r="D21" t="n">
        <v>4340.65</v>
      </c>
      <c r="E21" t="inlineStr">
        <is>
          <t>LearnFast</t>
        </is>
      </c>
    </row>
    <row r="22">
      <c r="A22" t="inlineStr">
        <is>
          <t>2025-05-27</t>
        </is>
      </c>
      <c r="B22" t="inlineStr">
        <is>
          <t>Marketing</t>
        </is>
      </c>
      <c r="C22" t="inlineStr">
        <is>
          <t>Travel</t>
        </is>
      </c>
      <c r="D22" t="n">
        <v>4840.18</v>
      </c>
      <c r="E22" t="inlineStr">
        <is>
          <t>NetSolutions</t>
        </is>
      </c>
    </row>
    <row r="23">
      <c r="A23" t="inlineStr">
        <is>
          <t>2025-05-24</t>
        </is>
      </c>
      <c r="B23" t="inlineStr">
        <is>
          <t>Sales</t>
        </is>
      </c>
      <c r="C23" t="inlineStr">
        <is>
          <t>Software</t>
        </is>
      </c>
      <c r="D23" t="n">
        <v>14461.95</v>
      </c>
      <c r="E23" t="inlineStr">
        <is>
          <t>NetSolutions</t>
        </is>
      </c>
    </row>
    <row r="24">
      <c r="A24" t="inlineStr">
        <is>
          <t>2025-03-25</t>
        </is>
      </c>
      <c r="B24" t="inlineStr">
        <is>
          <t>Marketing</t>
        </is>
      </c>
      <c r="C24" t="inlineStr">
        <is>
          <t>Training</t>
        </is>
      </c>
      <c r="D24" t="n">
        <v>9689.059999999999</v>
      </c>
      <c r="E24" t="inlineStr">
        <is>
          <t>DataServ</t>
        </is>
      </c>
    </row>
    <row r="25">
      <c r="A25" t="inlineStr">
        <is>
          <t>2025-09-12</t>
        </is>
      </c>
      <c r="B25" t="inlineStr">
        <is>
          <t>Engineering</t>
        </is>
      </c>
      <c r="C25" t="inlineStr">
        <is>
          <t>Consulting</t>
        </is>
      </c>
      <c r="D25" t="n">
        <v>8082.55</v>
      </c>
      <c r="E25" t="inlineStr">
        <is>
          <t>TechCorp</t>
        </is>
      </c>
    </row>
    <row r="26">
      <c r="A26" t="inlineStr">
        <is>
          <t>2025-02-15</t>
        </is>
      </c>
      <c r="B26" t="inlineStr">
        <is>
          <t>Sales</t>
        </is>
      </c>
      <c r="C26" t="inlineStr">
        <is>
          <t>Training</t>
        </is>
      </c>
      <c r="D26" t="n">
        <v>6053.32</v>
      </c>
      <c r="E26" t="inlineStr">
        <is>
          <t>OfficeHub</t>
        </is>
      </c>
    </row>
    <row r="27">
      <c r="A27" t="inlineStr">
        <is>
          <t>2025-11-12</t>
        </is>
      </c>
      <c r="B27" t="inlineStr">
        <is>
          <t>Engineering</t>
        </is>
      </c>
      <c r="C27" t="inlineStr">
        <is>
          <t>Training</t>
        </is>
      </c>
      <c r="D27" t="n">
        <v>4979.03</v>
      </c>
      <c r="E27" t="inlineStr">
        <is>
          <t>ConsultMax</t>
        </is>
      </c>
    </row>
    <row r="28">
      <c r="A28" t="inlineStr">
        <is>
          <t>2025-10-18</t>
        </is>
      </c>
      <c r="B28" t="inlineStr">
        <is>
          <t>Sales</t>
        </is>
      </c>
      <c r="C28" t="inlineStr">
        <is>
          <t>Office Supplies</t>
        </is>
      </c>
      <c r="D28" t="n">
        <v>330.87</v>
      </c>
      <c r="E28" t="inlineStr">
        <is>
          <t>ConsultMax</t>
        </is>
      </c>
    </row>
    <row r="29">
      <c r="A29" t="inlineStr">
        <is>
          <t>2025-11-27</t>
        </is>
      </c>
      <c r="B29" t="inlineStr">
        <is>
          <t>Operations</t>
        </is>
      </c>
      <c r="C29" t="inlineStr">
        <is>
          <t>Training</t>
        </is>
      </c>
      <c r="D29" t="n">
        <v>6667.77</v>
      </c>
      <c r="E29" t="inlineStr">
        <is>
          <t>OfficeHub</t>
        </is>
      </c>
    </row>
    <row r="30">
      <c r="A30" t="inlineStr">
        <is>
          <t>2025-02-05</t>
        </is>
      </c>
      <c r="B30" t="inlineStr">
        <is>
          <t>Engineering</t>
        </is>
      </c>
      <c r="C30" t="inlineStr">
        <is>
          <t>Software</t>
        </is>
      </c>
      <c r="D30" t="n">
        <v>14940.95</v>
      </c>
      <c r="E30" t="inlineStr">
        <is>
          <t>OfficeHub</t>
        </is>
      </c>
    </row>
    <row r="31">
      <c r="A31" t="inlineStr">
        <is>
          <t>2025-02-04</t>
        </is>
      </c>
      <c r="B31" t="inlineStr">
        <is>
          <t>Marketing</t>
        </is>
      </c>
      <c r="C31" t="inlineStr">
        <is>
          <t>Office Supplies</t>
        </is>
      </c>
      <c r="D31" t="n">
        <v>206.55</v>
      </c>
      <c r="E31" t="inlineStr">
        <is>
          <t>TravelPro</t>
        </is>
      </c>
    </row>
    <row r="32">
      <c r="A32" t="inlineStr">
        <is>
          <t>2025-06-22</t>
        </is>
      </c>
      <c r="B32" t="inlineStr">
        <is>
          <t>Finance</t>
        </is>
      </c>
      <c r="C32" t="inlineStr">
        <is>
          <t>Consulting</t>
        </is>
      </c>
      <c r="D32" t="n">
        <v>22364.52</v>
      </c>
      <c r="E32" t="inlineStr">
        <is>
          <t>TravelPro</t>
        </is>
      </c>
    </row>
    <row r="33">
      <c r="A33" t="inlineStr">
        <is>
          <t>2025-11-04</t>
        </is>
      </c>
      <c r="B33" t="inlineStr">
        <is>
          <t>Operations</t>
        </is>
      </c>
      <c r="C33" t="inlineStr">
        <is>
          <t>Office Supplies</t>
        </is>
      </c>
      <c r="D33" t="n">
        <v>470.75</v>
      </c>
      <c r="E33" t="inlineStr">
        <is>
          <t>DataServ</t>
        </is>
      </c>
    </row>
    <row r="34">
      <c r="A34" t="inlineStr">
        <is>
          <t>2025-05-02</t>
        </is>
      </c>
      <c r="B34" t="inlineStr">
        <is>
          <t>Sales</t>
        </is>
      </c>
      <c r="C34" t="inlineStr">
        <is>
          <t>Hardware</t>
        </is>
      </c>
      <c r="D34" t="n">
        <v>3668.63</v>
      </c>
      <c r="E34" t="inlineStr">
        <is>
          <t>NetSolutions</t>
        </is>
      </c>
    </row>
    <row r="35">
      <c r="A35" t="inlineStr">
        <is>
          <t>2025-04-28</t>
        </is>
      </c>
      <c r="B35" t="inlineStr">
        <is>
          <t>Sales</t>
        </is>
      </c>
      <c r="C35" t="inlineStr">
        <is>
          <t>Software</t>
        </is>
      </c>
      <c r="D35" t="n">
        <v>8394.75</v>
      </c>
      <c r="E35" t="inlineStr">
        <is>
          <t>LearnFast</t>
        </is>
      </c>
    </row>
    <row r="36">
      <c r="A36" t="inlineStr">
        <is>
          <t>2025-11-12</t>
        </is>
      </c>
      <c r="B36" t="inlineStr">
        <is>
          <t>Engineering</t>
        </is>
      </c>
      <c r="C36" t="inlineStr">
        <is>
          <t>Consulting</t>
        </is>
      </c>
      <c r="D36" t="n">
        <v>6365.6</v>
      </c>
      <c r="E36" t="inlineStr">
        <is>
          <t>OfficeHub</t>
        </is>
      </c>
    </row>
    <row r="37">
      <c r="A37" t="inlineStr">
        <is>
          <t>2025-02-28</t>
        </is>
      </c>
      <c r="B37" t="inlineStr">
        <is>
          <t>Operations</t>
        </is>
      </c>
      <c r="C37" t="inlineStr">
        <is>
          <t>Software</t>
        </is>
      </c>
      <c r="D37" t="n">
        <v>9804.709999999999</v>
      </c>
      <c r="E37" t="inlineStr">
        <is>
          <t>ConsultMax</t>
        </is>
      </c>
    </row>
    <row r="38">
      <c r="A38" t="inlineStr">
        <is>
          <t>2025-10-01</t>
        </is>
      </c>
      <c r="B38" t="inlineStr">
        <is>
          <t>Engineering</t>
        </is>
      </c>
      <c r="C38" t="inlineStr">
        <is>
          <t>Travel</t>
        </is>
      </c>
      <c r="D38" t="n">
        <v>4945.22</v>
      </c>
      <c r="E38" t="inlineStr">
        <is>
          <t>ConsultMax</t>
        </is>
      </c>
    </row>
    <row r="39">
      <c r="A39" t="inlineStr">
        <is>
          <t>2025-10-07</t>
        </is>
      </c>
      <c r="B39" t="inlineStr">
        <is>
          <t>Engineering</t>
        </is>
      </c>
      <c r="C39" t="inlineStr">
        <is>
          <t>Office Supplies</t>
        </is>
      </c>
      <c r="D39" t="n">
        <v>301.46</v>
      </c>
      <c r="E39" t="inlineStr">
        <is>
          <t>ConsultMax</t>
        </is>
      </c>
    </row>
    <row r="40">
      <c r="A40" t="inlineStr">
        <is>
          <t>2025-04-11</t>
        </is>
      </c>
      <c r="B40" t="inlineStr">
        <is>
          <t>Marketing</t>
        </is>
      </c>
      <c r="C40" t="inlineStr">
        <is>
          <t>Office Supplies</t>
        </is>
      </c>
      <c r="D40" t="n">
        <v>153.09</v>
      </c>
      <c r="E40" t="inlineStr">
        <is>
          <t>TechCorp</t>
        </is>
      </c>
    </row>
    <row r="41">
      <c r="A41" t="inlineStr">
        <is>
          <t>2025-03-05</t>
        </is>
      </c>
      <c r="B41" t="inlineStr">
        <is>
          <t>Finance</t>
        </is>
      </c>
      <c r="C41" t="inlineStr">
        <is>
          <t>Travel</t>
        </is>
      </c>
      <c r="D41" t="n">
        <v>638.64</v>
      </c>
      <c r="E41" t="inlineStr">
        <is>
          <t>TravelPro</t>
        </is>
      </c>
    </row>
    <row r="42">
      <c r="A42" t="inlineStr">
        <is>
          <t>2025-01-05</t>
        </is>
      </c>
      <c r="B42" t="inlineStr">
        <is>
          <t>Engineering</t>
        </is>
      </c>
      <c r="C42" t="inlineStr">
        <is>
          <t>Travel</t>
        </is>
      </c>
      <c r="D42" t="n">
        <v>2985.38</v>
      </c>
      <c r="E42" t="inlineStr">
        <is>
          <t>ConsultMax</t>
        </is>
      </c>
    </row>
    <row r="43">
      <c r="A43" t="inlineStr">
        <is>
          <t>2025-01-06</t>
        </is>
      </c>
      <c r="B43" t="inlineStr">
        <is>
          <t>Sales</t>
        </is>
      </c>
      <c r="C43" t="inlineStr">
        <is>
          <t>Software</t>
        </is>
      </c>
      <c r="D43" t="n">
        <v>11254.91</v>
      </c>
      <c r="E43" t="inlineStr">
        <is>
          <t>TravelPro</t>
        </is>
      </c>
    </row>
    <row r="44">
      <c r="A44" t="inlineStr">
        <is>
          <t>2025-09-04</t>
        </is>
      </c>
      <c r="B44" t="inlineStr">
        <is>
          <t>Engineering</t>
        </is>
      </c>
      <c r="C44" t="inlineStr">
        <is>
          <t>Consulting</t>
        </is>
      </c>
      <c r="D44" t="n">
        <v>19894.39</v>
      </c>
      <c r="E44" t="inlineStr">
        <is>
          <t>NetSolutions</t>
        </is>
      </c>
    </row>
    <row r="45">
      <c r="A45" t="inlineStr">
        <is>
          <t>2025-09-19</t>
        </is>
      </c>
      <c r="B45" t="inlineStr">
        <is>
          <t>Engineering</t>
        </is>
      </c>
      <c r="C45" t="inlineStr">
        <is>
          <t>Consulting</t>
        </is>
      </c>
      <c r="D45" t="n">
        <v>23744.56</v>
      </c>
      <c r="E45" t="inlineStr">
        <is>
          <t>ConsultMax</t>
        </is>
      </c>
    </row>
    <row r="46">
      <c r="A46" t="inlineStr">
        <is>
          <t>2025-01-24</t>
        </is>
      </c>
      <c r="B46" t="inlineStr">
        <is>
          <t>Finance</t>
        </is>
      </c>
      <c r="C46" t="inlineStr">
        <is>
          <t>Travel</t>
        </is>
      </c>
      <c r="D46" t="n">
        <v>3252.37</v>
      </c>
      <c r="E46" t="inlineStr">
        <is>
          <t>NetSolutions</t>
        </is>
      </c>
    </row>
    <row r="47">
      <c r="A47" t="inlineStr">
        <is>
          <t>2025-01-02</t>
        </is>
      </c>
      <c r="B47" t="inlineStr">
        <is>
          <t>Operations</t>
        </is>
      </c>
      <c r="C47" t="inlineStr">
        <is>
          <t>Consulting</t>
        </is>
      </c>
      <c r="D47" t="n">
        <v>17780.24</v>
      </c>
      <c r="E47" t="inlineStr">
        <is>
          <t>DataServ</t>
        </is>
      </c>
    </row>
    <row r="48">
      <c r="A48" t="inlineStr">
        <is>
          <t>2025-08-23</t>
        </is>
      </c>
      <c r="B48" t="inlineStr">
        <is>
          <t>Operations</t>
        </is>
      </c>
      <c r="C48" t="inlineStr">
        <is>
          <t>Software</t>
        </is>
      </c>
      <c r="D48" t="n">
        <v>5170.62</v>
      </c>
      <c r="E48" t="inlineStr">
        <is>
          <t>CloudVend</t>
        </is>
      </c>
    </row>
    <row r="49">
      <c r="A49" t="inlineStr">
        <is>
          <t>2025-03-03</t>
        </is>
      </c>
      <c r="B49" t="inlineStr">
        <is>
          <t>Marketing</t>
        </is>
      </c>
      <c r="C49" t="inlineStr">
        <is>
          <t>Travel</t>
        </is>
      </c>
      <c r="D49" t="n">
        <v>1966.43</v>
      </c>
      <c r="E49" t="inlineStr">
        <is>
          <t>LearnFast</t>
        </is>
      </c>
    </row>
    <row r="50">
      <c r="A50" t="inlineStr">
        <is>
          <t>2025-10-17</t>
        </is>
      </c>
      <c r="B50" t="inlineStr">
        <is>
          <t>Sales</t>
        </is>
      </c>
      <c r="C50" t="inlineStr">
        <is>
          <t>Consulting</t>
        </is>
      </c>
      <c r="D50" t="n">
        <v>4281.1</v>
      </c>
      <c r="E50" t="inlineStr">
        <is>
          <t>DataServ</t>
        </is>
      </c>
    </row>
    <row r="51">
      <c r="A51" t="inlineStr">
        <is>
          <t>2025-12-04</t>
        </is>
      </c>
      <c r="B51" t="inlineStr">
        <is>
          <t>Finance</t>
        </is>
      </c>
      <c r="C51" t="inlineStr">
        <is>
          <t>Training</t>
        </is>
      </c>
      <c r="D51" t="n">
        <v>4585.66</v>
      </c>
      <c r="E51" t="inlineStr">
        <is>
          <t>ConsultMax</t>
        </is>
      </c>
    </row>
    <row r="52">
      <c r="A52" t="inlineStr">
        <is>
          <t>2025-04-14</t>
        </is>
      </c>
      <c r="B52" t="inlineStr">
        <is>
          <t>Sales</t>
        </is>
      </c>
      <c r="C52" t="inlineStr">
        <is>
          <t>Consulting</t>
        </is>
      </c>
      <c r="D52" t="n">
        <v>11567.76</v>
      </c>
      <c r="E52" t="inlineStr">
        <is>
          <t>DataServ</t>
        </is>
      </c>
    </row>
    <row r="53">
      <c r="A53" t="inlineStr">
        <is>
          <t>2025-02-11</t>
        </is>
      </c>
      <c r="B53" t="inlineStr">
        <is>
          <t>Operations</t>
        </is>
      </c>
      <c r="C53" t="inlineStr">
        <is>
          <t>Travel</t>
        </is>
      </c>
      <c r="D53" t="n">
        <v>1934.08</v>
      </c>
      <c r="E53" t="inlineStr">
        <is>
          <t>OfficeHub</t>
        </is>
      </c>
    </row>
    <row r="54">
      <c r="A54" t="inlineStr">
        <is>
          <t>2025-03-22</t>
        </is>
      </c>
      <c r="B54" t="inlineStr">
        <is>
          <t>Operations</t>
        </is>
      </c>
      <c r="C54" t="inlineStr">
        <is>
          <t>Software</t>
        </is>
      </c>
      <c r="D54" t="n">
        <v>12560.69</v>
      </c>
      <c r="E54" t="inlineStr">
        <is>
          <t>CloudVend</t>
        </is>
      </c>
    </row>
    <row r="55">
      <c r="A55" t="inlineStr">
        <is>
          <t>2025-02-14</t>
        </is>
      </c>
      <c r="B55" t="inlineStr">
        <is>
          <t>Engineering</t>
        </is>
      </c>
      <c r="C55" t="inlineStr">
        <is>
          <t>Training</t>
        </is>
      </c>
      <c r="D55" t="n">
        <v>8211.809999999999</v>
      </c>
      <c r="E55" t="inlineStr">
        <is>
          <t>LearnFast</t>
        </is>
      </c>
    </row>
    <row r="56">
      <c r="A56" t="inlineStr">
        <is>
          <t>2025-09-02</t>
        </is>
      </c>
      <c r="B56" t="inlineStr">
        <is>
          <t>Finance</t>
        </is>
      </c>
      <c r="C56" t="inlineStr">
        <is>
          <t>Office Supplies</t>
        </is>
      </c>
      <c r="D56" t="n">
        <v>341.61</v>
      </c>
      <c r="E56" t="inlineStr">
        <is>
          <t>LearnFast</t>
        </is>
      </c>
    </row>
    <row r="57">
      <c r="A57" t="inlineStr">
        <is>
          <t>2025-07-12</t>
        </is>
      </c>
      <c r="B57" t="inlineStr">
        <is>
          <t>Operations</t>
        </is>
      </c>
      <c r="C57" t="inlineStr">
        <is>
          <t>Training</t>
        </is>
      </c>
      <c r="D57" t="n">
        <v>9699.790000000001</v>
      </c>
      <c r="E57" t="inlineStr">
        <is>
          <t>TechCorp</t>
        </is>
      </c>
    </row>
    <row r="58">
      <c r="A58" t="inlineStr">
        <is>
          <t>2025-10-10</t>
        </is>
      </c>
      <c r="B58" t="inlineStr">
        <is>
          <t>Sales</t>
        </is>
      </c>
      <c r="C58" t="inlineStr">
        <is>
          <t>Software</t>
        </is>
      </c>
      <c r="D58" t="n">
        <v>2743.59</v>
      </c>
      <c r="E58" t="inlineStr">
        <is>
          <t>ConsultMax</t>
        </is>
      </c>
    </row>
    <row r="59">
      <c r="A59" t="inlineStr">
        <is>
          <t>2025-08-08</t>
        </is>
      </c>
      <c r="B59" t="inlineStr">
        <is>
          <t>Engineering</t>
        </is>
      </c>
      <c r="C59" t="inlineStr">
        <is>
          <t>Travel</t>
        </is>
      </c>
      <c r="D59" t="n">
        <v>662.9400000000001</v>
      </c>
      <c r="E59" t="inlineStr">
        <is>
          <t>LearnFast</t>
        </is>
      </c>
    </row>
    <row r="60">
      <c r="A60" t="inlineStr">
        <is>
          <t>2025-05-19</t>
        </is>
      </c>
      <c r="B60" t="inlineStr">
        <is>
          <t>Marketing</t>
        </is>
      </c>
      <c r="C60" t="inlineStr">
        <is>
          <t>Consulting</t>
        </is>
      </c>
      <c r="D60" t="n">
        <v>16006.88</v>
      </c>
      <c r="E60" t="inlineStr">
        <is>
          <t>TechCorp</t>
        </is>
      </c>
    </row>
    <row r="61">
      <c r="A61" t="inlineStr">
        <is>
          <t>2025-11-27</t>
        </is>
      </c>
      <c r="B61" t="inlineStr">
        <is>
          <t>Sales</t>
        </is>
      </c>
      <c r="C61" t="inlineStr">
        <is>
          <t>Software</t>
        </is>
      </c>
      <c r="D61" t="n">
        <v>4462.42</v>
      </c>
      <c r="E61" t="inlineStr">
        <is>
          <t>TravelPro</t>
        </is>
      </c>
    </row>
    <row r="62">
      <c r="A62" t="inlineStr">
        <is>
          <t>2025-05-11</t>
        </is>
      </c>
      <c r="B62" t="inlineStr">
        <is>
          <t>Sales</t>
        </is>
      </c>
      <c r="C62" t="inlineStr">
        <is>
          <t>Software</t>
        </is>
      </c>
      <c r="D62" t="n">
        <v>13113.01</v>
      </c>
      <c r="E62" t="inlineStr">
        <is>
          <t>TravelPro</t>
        </is>
      </c>
    </row>
    <row r="63">
      <c r="A63" t="inlineStr">
        <is>
          <t>2025-10-22</t>
        </is>
      </c>
      <c r="B63" t="inlineStr">
        <is>
          <t>Operations</t>
        </is>
      </c>
      <c r="C63" t="inlineStr">
        <is>
          <t>Software</t>
        </is>
      </c>
      <c r="D63" t="n">
        <v>11244.05</v>
      </c>
      <c r="E63" t="inlineStr">
        <is>
          <t>TravelPro</t>
        </is>
      </c>
    </row>
    <row r="64">
      <c r="A64" t="inlineStr">
        <is>
          <t>2025-01-03</t>
        </is>
      </c>
      <c r="B64" t="inlineStr">
        <is>
          <t>Finance</t>
        </is>
      </c>
      <c r="C64" t="inlineStr">
        <is>
          <t>Hardware</t>
        </is>
      </c>
      <c r="D64" t="n">
        <v>3474.69</v>
      </c>
      <c r="E64" t="inlineStr">
        <is>
          <t>DataServ</t>
        </is>
      </c>
    </row>
    <row r="65">
      <c r="A65" t="inlineStr">
        <is>
          <t>2025-06-06</t>
        </is>
      </c>
      <c r="B65" t="inlineStr">
        <is>
          <t>Sales</t>
        </is>
      </c>
      <c r="C65" t="inlineStr">
        <is>
          <t>Travel</t>
        </is>
      </c>
      <c r="D65" t="n">
        <v>3906.49</v>
      </c>
      <c r="E65" t="inlineStr">
        <is>
          <t>LearnFast</t>
        </is>
      </c>
    </row>
    <row r="66">
      <c r="A66" t="inlineStr">
        <is>
          <t>2025-10-20</t>
        </is>
      </c>
      <c r="B66" t="inlineStr">
        <is>
          <t>Engineering</t>
        </is>
      </c>
      <c r="C66" t="inlineStr">
        <is>
          <t>Software</t>
        </is>
      </c>
      <c r="D66" t="n">
        <v>2782.44</v>
      </c>
      <c r="E66" t="inlineStr">
        <is>
          <t>TravelPro</t>
        </is>
      </c>
    </row>
    <row r="67">
      <c r="A67" t="inlineStr">
        <is>
          <t>2025-10-02</t>
        </is>
      </c>
      <c r="B67" t="inlineStr">
        <is>
          <t>Engineering</t>
        </is>
      </c>
      <c r="C67" t="inlineStr">
        <is>
          <t>Travel</t>
        </is>
      </c>
      <c r="D67" t="n">
        <v>3343.5</v>
      </c>
      <c r="E67" t="inlineStr">
        <is>
          <t>NetSolutions</t>
        </is>
      </c>
    </row>
    <row r="68">
      <c r="A68" t="inlineStr">
        <is>
          <t>2025-08-20</t>
        </is>
      </c>
      <c r="B68" t="inlineStr">
        <is>
          <t>Operations</t>
        </is>
      </c>
      <c r="C68" t="inlineStr">
        <is>
          <t>Consulting</t>
        </is>
      </c>
      <c r="D68" t="n">
        <v>6958.09</v>
      </c>
      <c r="E68" t="inlineStr">
        <is>
          <t>OfficeHub</t>
        </is>
      </c>
    </row>
    <row r="69">
      <c r="A69" t="inlineStr">
        <is>
          <t>2025-09-04</t>
        </is>
      </c>
      <c r="B69" t="inlineStr">
        <is>
          <t>Sales</t>
        </is>
      </c>
      <c r="C69" t="inlineStr">
        <is>
          <t>Consulting</t>
        </is>
      </c>
      <c r="D69" t="n">
        <v>8514.67</v>
      </c>
      <c r="E69" t="inlineStr">
        <is>
          <t>CloudVend</t>
        </is>
      </c>
    </row>
    <row r="70">
      <c r="A70" t="inlineStr">
        <is>
          <t>2025-11-19</t>
        </is>
      </c>
      <c r="B70" t="inlineStr">
        <is>
          <t>Operations</t>
        </is>
      </c>
      <c r="C70" t="inlineStr">
        <is>
          <t>Office Supplies</t>
        </is>
      </c>
      <c r="D70" t="n">
        <v>41.8</v>
      </c>
      <c r="E70" t="inlineStr">
        <is>
          <t>OfficeHub</t>
        </is>
      </c>
    </row>
    <row r="71">
      <c r="A71" t="inlineStr">
        <is>
          <t>2025-07-20</t>
        </is>
      </c>
      <c r="B71" t="inlineStr">
        <is>
          <t>Engineering</t>
        </is>
      </c>
      <c r="C71" t="inlineStr">
        <is>
          <t>Software</t>
        </is>
      </c>
      <c r="D71" t="n">
        <v>4870.58</v>
      </c>
      <c r="E71" t="inlineStr">
        <is>
          <t>ConsultMax</t>
        </is>
      </c>
    </row>
    <row r="72">
      <c r="A72" t="inlineStr">
        <is>
          <t>2025-04-25</t>
        </is>
      </c>
      <c r="B72" t="inlineStr">
        <is>
          <t>Marketing</t>
        </is>
      </c>
      <c r="C72" t="inlineStr">
        <is>
          <t>Travel</t>
        </is>
      </c>
      <c r="D72" t="n">
        <v>1707.8</v>
      </c>
      <c r="E72" t="inlineStr">
        <is>
          <t>OfficeHub</t>
        </is>
      </c>
    </row>
    <row r="73">
      <c r="A73" t="inlineStr">
        <is>
          <t>2025-01-16</t>
        </is>
      </c>
      <c r="B73" t="inlineStr">
        <is>
          <t>Operations</t>
        </is>
      </c>
      <c r="C73" t="inlineStr">
        <is>
          <t>Hardware</t>
        </is>
      </c>
      <c r="D73" t="n">
        <v>3165.62</v>
      </c>
      <c r="E73" t="inlineStr">
        <is>
          <t>TravelPro</t>
        </is>
      </c>
    </row>
    <row r="74">
      <c r="A74" t="inlineStr">
        <is>
          <t>2025-12-08</t>
        </is>
      </c>
      <c r="B74" t="inlineStr">
        <is>
          <t>Finance</t>
        </is>
      </c>
      <c r="C74" t="inlineStr">
        <is>
          <t>Office Supplies</t>
        </is>
      </c>
      <c r="D74" t="n">
        <v>54.6</v>
      </c>
      <c r="E74" t="inlineStr">
        <is>
          <t>LearnFast</t>
        </is>
      </c>
    </row>
    <row r="75">
      <c r="A75" t="inlineStr">
        <is>
          <t>2025-12-02</t>
        </is>
      </c>
      <c r="B75" t="inlineStr">
        <is>
          <t>Operations</t>
        </is>
      </c>
      <c r="C75" t="inlineStr">
        <is>
          <t>Software</t>
        </is>
      </c>
      <c r="D75" t="n">
        <v>13856.86</v>
      </c>
      <c r="E75" t="inlineStr">
        <is>
          <t>NetSolutions</t>
        </is>
      </c>
    </row>
    <row r="76">
      <c r="A76" t="inlineStr">
        <is>
          <t>2025-06-19</t>
        </is>
      </c>
      <c r="B76" t="inlineStr">
        <is>
          <t>Operations</t>
        </is>
      </c>
      <c r="C76" t="inlineStr">
        <is>
          <t>Office Supplies</t>
        </is>
      </c>
      <c r="D76" t="n">
        <v>360.56</v>
      </c>
      <c r="E76" t="inlineStr">
        <is>
          <t>DataServ</t>
        </is>
      </c>
    </row>
    <row r="77">
      <c r="A77" t="inlineStr">
        <is>
          <t>2025-07-10</t>
        </is>
      </c>
      <c r="B77" t="inlineStr">
        <is>
          <t>Engineering</t>
        </is>
      </c>
      <c r="C77" t="inlineStr">
        <is>
          <t>Consulting</t>
        </is>
      </c>
      <c r="D77" t="n">
        <v>24222.59</v>
      </c>
      <c r="E77" t="inlineStr">
        <is>
          <t>TechCorp</t>
        </is>
      </c>
    </row>
    <row r="78">
      <c r="A78" t="inlineStr">
        <is>
          <t>2025-03-26</t>
        </is>
      </c>
      <c r="B78" t="inlineStr">
        <is>
          <t>Finance</t>
        </is>
      </c>
      <c r="C78" t="inlineStr">
        <is>
          <t>Consulting</t>
        </is>
      </c>
      <c r="D78" t="n">
        <v>4026.99</v>
      </c>
      <c r="E78" t="inlineStr">
        <is>
          <t>LearnFast</t>
        </is>
      </c>
    </row>
    <row r="79">
      <c r="A79" t="inlineStr">
        <is>
          <t>2025-02-08</t>
        </is>
      </c>
      <c r="B79" t="inlineStr">
        <is>
          <t>Operations</t>
        </is>
      </c>
      <c r="C79" t="inlineStr">
        <is>
          <t>Office Supplies</t>
        </is>
      </c>
      <c r="D79" t="n">
        <v>271.5</v>
      </c>
      <c r="E79" t="inlineStr">
        <is>
          <t>DataServ</t>
        </is>
      </c>
    </row>
    <row r="80">
      <c r="A80" t="inlineStr">
        <is>
          <t>2025-07-28</t>
        </is>
      </c>
      <c r="B80" t="inlineStr">
        <is>
          <t>Sales</t>
        </is>
      </c>
      <c r="C80" t="inlineStr">
        <is>
          <t>Training</t>
        </is>
      </c>
      <c r="D80" t="n">
        <v>2604.93</v>
      </c>
      <c r="E80" t="inlineStr">
        <is>
          <t>LearnFast</t>
        </is>
      </c>
    </row>
    <row r="81">
      <c r="A81" t="inlineStr">
        <is>
          <t>2025-03-03</t>
        </is>
      </c>
      <c r="B81" t="inlineStr">
        <is>
          <t>Finance</t>
        </is>
      </c>
      <c r="C81" t="inlineStr">
        <is>
          <t>Training</t>
        </is>
      </c>
      <c r="D81" t="n">
        <v>5540.75</v>
      </c>
      <c r="E81" t="inlineStr">
        <is>
          <t>CloudVend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category</t>
        </is>
      </c>
      <c r="C1" t="inlineStr">
        <is>
          <t>total_amount</t>
        </is>
      </c>
      <c r="D1" t="inlineStr">
        <is>
          <t>avg_amount</t>
        </is>
      </c>
      <c r="E1" t="inlineStr">
        <is>
          <t>transaction_count</t>
        </is>
      </c>
    </row>
    <row r="2">
      <c r="A2" t="inlineStr">
        <is>
          <t>Engineering</t>
        </is>
      </c>
      <c r="B2" t="inlineStr">
        <is>
          <t>Consulting</t>
        </is>
      </c>
      <c r="C2">
        <f>SUMPRODUCT(('Raw Data'!B2:B81=A2)*('Raw Data'!C2:C81=B2)*('Raw Data'!D2:D81))</f>
        <v/>
      </c>
      <c r="D2">
        <f>IF(E2&gt;0,C2/E2,0)</f>
        <v/>
      </c>
      <c r="E2">
        <f>SUMPRODUCT(('Raw Data'!B2:B81=A2)*('Raw Data'!C2:C81=B2)*1)</f>
        <v/>
      </c>
    </row>
    <row r="3">
      <c r="A3" t="inlineStr">
        <is>
          <t>Engineering</t>
        </is>
      </c>
      <c r="B3" t="inlineStr">
        <is>
          <t>Office Supplies</t>
        </is>
      </c>
      <c r="C3">
        <f>SUMPRODUCT(('Raw Data'!B2:B81=A3)*('Raw Data'!C2:C81=B3)*('Raw Data'!D2:D81))</f>
        <v/>
      </c>
      <c r="D3">
        <f>IF(E3&gt;0,C3/E3,0)</f>
        <v/>
      </c>
      <c r="E3">
        <f>SUMPRODUCT(('Raw Data'!B2:B81=A3)*('Raw Data'!C2:C81=B3)*1)</f>
        <v/>
      </c>
    </row>
    <row r="4">
      <c r="A4" t="inlineStr">
        <is>
          <t>Engineering</t>
        </is>
      </c>
      <c r="B4" t="inlineStr">
        <is>
          <t>Software</t>
        </is>
      </c>
      <c r="C4">
        <f>SUMPRODUCT(('Raw Data'!B2:B81=A4)*('Raw Data'!C2:C81=B4)*('Raw Data'!D2:D81))</f>
        <v/>
      </c>
      <c r="D4">
        <f>IF(E4&gt;0,C4/E4,0)</f>
        <v/>
      </c>
      <c r="E4">
        <f>SUMPRODUCT(('Raw Data'!B2:B81=A4)*('Raw Data'!C2:C81=B4)*1)</f>
        <v/>
      </c>
    </row>
    <row r="5">
      <c r="A5" t="inlineStr">
        <is>
          <t>Engineering</t>
        </is>
      </c>
      <c r="B5" t="inlineStr">
        <is>
          <t>Training</t>
        </is>
      </c>
      <c r="C5">
        <f>SUMPRODUCT(('Raw Data'!B2:B81=A5)*('Raw Data'!C2:C81=B5)*('Raw Data'!D2:D81))</f>
        <v/>
      </c>
      <c r="D5">
        <f>IF(E5&gt;0,C5/E5,0)</f>
        <v/>
      </c>
      <c r="E5">
        <f>SUMPRODUCT(('Raw Data'!B2:B81=A5)*('Raw Data'!C2:C81=B5)*1)</f>
        <v/>
      </c>
    </row>
    <row r="6">
      <c r="A6" t="inlineStr">
        <is>
          <t>Engineering</t>
        </is>
      </c>
      <c r="B6" t="inlineStr">
        <is>
          <t>Travel</t>
        </is>
      </c>
      <c r="C6">
        <f>SUMPRODUCT(('Raw Data'!B2:B81=A6)*('Raw Data'!C2:C81=B6)*('Raw Data'!D2:D81))</f>
        <v/>
      </c>
      <c r="D6">
        <f>IF(E6&gt;0,C6/E6,0)</f>
        <v/>
      </c>
      <c r="E6">
        <f>SUMPRODUCT(('Raw Data'!B2:B81=A6)*('Raw Data'!C2:C81=B6)*1)</f>
        <v/>
      </c>
    </row>
    <row r="7">
      <c r="A7" t="inlineStr">
        <is>
          <t>Finance</t>
        </is>
      </c>
      <c r="B7" t="inlineStr">
        <is>
          <t>Consulting</t>
        </is>
      </c>
      <c r="C7">
        <f>SUMPRODUCT(('Raw Data'!B2:B81=A7)*('Raw Data'!C2:C81=B7)*('Raw Data'!D2:D81))</f>
        <v/>
      </c>
      <c r="D7">
        <f>IF(E7&gt;0,C7/E7,0)</f>
        <v/>
      </c>
      <c r="E7">
        <f>SUMPRODUCT(('Raw Data'!B2:B81=A7)*('Raw Data'!C2:C81=B7)*1)</f>
        <v/>
      </c>
    </row>
    <row r="8">
      <c r="A8" t="inlineStr">
        <is>
          <t>Finance</t>
        </is>
      </c>
      <c r="B8" t="inlineStr">
        <is>
          <t>Hardware</t>
        </is>
      </c>
      <c r="C8">
        <f>SUMPRODUCT(('Raw Data'!B2:B81=A8)*('Raw Data'!C2:C81=B8)*('Raw Data'!D2:D81))</f>
        <v/>
      </c>
      <c r="D8">
        <f>IF(E8&gt;0,C8/E8,0)</f>
        <v/>
      </c>
      <c r="E8">
        <f>SUMPRODUCT(('Raw Data'!B2:B81=A8)*('Raw Data'!C2:C81=B8)*1)</f>
        <v/>
      </c>
    </row>
    <row r="9">
      <c r="A9" t="inlineStr">
        <is>
          <t>Finance</t>
        </is>
      </c>
      <c r="B9" t="inlineStr">
        <is>
          <t>Office Supplies</t>
        </is>
      </c>
      <c r="C9">
        <f>SUMPRODUCT(('Raw Data'!B2:B81=A9)*('Raw Data'!C2:C81=B9)*('Raw Data'!D2:D81))</f>
        <v/>
      </c>
      <c r="D9">
        <f>IF(E9&gt;0,C9/E9,0)</f>
        <v/>
      </c>
      <c r="E9">
        <f>SUMPRODUCT(('Raw Data'!B2:B81=A9)*('Raw Data'!C2:C81=B9)*1)</f>
        <v/>
      </c>
    </row>
    <row r="10">
      <c r="A10" t="inlineStr">
        <is>
          <t>Finance</t>
        </is>
      </c>
      <c r="B10" t="inlineStr">
        <is>
          <t>Training</t>
        </is>
      </c>
      <c r="C10">
        <f>SUMPRODUCT(('Raw Data'!B2:B81=A10)*('Raw Data'!C2:C81=B10)*('Raw Data'!D2:D81))</f>
        <v/>
      </c>
      <c r="D10">
        <f>IF(E10&gt;0,C10/E10,0)</f>
        <v/>
      </c>
      <c r="E10">
        <f>SUMPRODUCT(('Raw Data'!B2:B81=A10)*('Raw Data'!C2:C81=B10)*1)</f>
        <v/>
      </c>
    </row>
    <row r="11">
      <c r="A11" t="inlineStr">
        <is>
          <t>Finance</t>
        </is>
      </c>
      <c r="B11" t="inlineStr">
        <is>
          <t>Travel</t>
        </is>
      </c>
      <c r="C11">
        <f>SUMPRODUCT(('Raw Data'!B2:B81=A11)*('Raw Data'!C2:C81=B11)*('Raw Data'!D2:D81))</f>
        <v/>
      </c>
      <c r="D11">
        <f>IF(E11&gt;0,C11/E11,0)</f>
        <v/>
      </c>
      <c r="E11">
        <f>SUMPRODUCT(('Raw Data'!B2:B81=A11)*('Raw Data'!C2:C81=B11)*1)</f>
        <v/>
      </c>
    </row>
    <row r="12">
      <c r="A12" t="inlineStr">
        <is>
          <t>Marketing</t>
        </is>
      </c>
      <c r="B12" t="inlineStr">
        <is>
          <t>Consulting</t>
        </is>
      </c>
      <c r="C12">
        <f>SUMPRODUCT(('Raw Data'!B2:B81=A12)*('Raw Data'!C2:C81=B12)*('Raw Data'!D2:D81))</f>
        <v/>
      </c>
      <c r="D12">
        <f>IF(E12&gt;0,C12/E12,0)</f>
        <v/>
      </c>
      <c r="E12">
        <f>SUMPRODUCT(('Raw Data'!B2:B81=A12)*('Raw Data'!C2:C81=B12)*1)</f>
        <v/>
      </c>
    </row>
    <row r="13">
      <c r="A13" t="inlineStr">
        <is>
          <t>Marketing</t>
        </is>
      </c>
      <c r="B13" t="inlineStr">
        <is>
          <t>Hardware</t>
        </is>
      </c>
      <c r="C13">
        <f>SUMPRODUCT(('Raw Data'!B2:B81=A13)*('Raw Data'!C2:C81=B13)*('Raw Data'!D2:D81))</f>
        <v/>
      </c>
      <c r="D13">
        <f>IF(E13&gt;0,C13/E13,0)</f>
        <v/>
      </c>
      <c r="E13">
        <f>SUMPRODUCT(('Raw Data'!B2:B81=A13)*('Raw Data'!C2:C81=B13)*1)</f>
        <v/>
      </c>
    </row>
    <row r="14">
      <c r="A14" t="inlineStr">
        <is>
          <t>Marketing</t>
        </is>
      </c>
      <c r="B14" t="inlineStr">
        <is>
          <t>Office Supplies</t>
        </is>
      </c>
      <c r="C14">
        <f>SUMPRODUCT(('Raw Data'!B2:B81=A14)*('Raw Data'!C2:C81=B14)*('Raw Data'!D2:D81))</f>
        <v/>
      </c>
      <c r="D14">
        <f>IF(E14&gt;0,C14/E14,0)</f>
        <v/>
      </c>
      <c r="E14">
        <f>SUMPRODUCT(('Raw Data'!B2:B81=A14)*('Raw Data'!C2:C81=B14)*1)</f>
        <v/>
      </c>
    </row>
    <row r="15">
      <c r="A15" t="inlineStr">
        <is>
          <t>Marketing</t>
        </is>
      </c>
      <c r="B15" t="inlineStr">
        <is>
          <t>Software</t>
        </is>
      </c>
      <c r="C15">
        <f>SUMPRODUCT(('Raw Data'!B2:B81=A15)*('Raw Data'!C2:C81=B15)*('Raw Data'!D2:D81))</f>
        <v/>
      </c>
      <c r="D15">
        <f>IF(E15&gt;0,C15/E15,0)</f>
        <v/>
      </c>
      <c r="E15">
        <f>SUMPRODUCT(('Raw Data'!B2:B81=A15)*('Raw Data'!C2:C81=B15)*1)</f>
        <v/>
      </c>
    </row>
    <row r="16">
      <c r="A16" t="inlineStr">
        <is>
          <t>Marketing</t>
        </is>
      </c>
      <c r="B16" t="inlineStr">
        <is>
          <t>Training</t>
        </is>
      </c>
      <c r="C16">
        <f>SUMPRODUCT(('Raw Data'!B2:B81=A16)*('Raw Data'!C2:C81=B16)*('Raw Data'!D2:D81))</f>
        <v/>
      </c>
      <c r="D16">
        <f>IF(E16&gt;0,C16/E16,0)</f>
        <v/>
      </c>
      <c r="E16">
        <f>SUMPRODUCT(('Raw Data'!B2:B81=A16)*('Raw Data'!C2:C81=B16)*1)</f>
        <v/>
      </c>
    </row>
    <row r="17">
      <c r="A17" t="inlineStr">
        <is>
          <t>Marketing</t>
        </is>
      </c>
      <c r="B17" t="inlineStr">
        <is>
          <t>Travel</t>
        </is>
      </c>
      <c r="C17">
        <f>SUMPRODUCT(('Raw Data'!B2:B81=A17)*('Raw Data'!C2:C81=B17)*('Raw Data'!D2:D81))</f>
        <v/>
      </c>
      <c r="D17">
        <f>IF(E17&gt;0,C17/E17,0)</f>
        <v/>
      </c>
      <c r="E17">
        <f>SUMPRODUCT(('Raw Data'!B2:B81=A17)*('Raw Data'!C2:C81=B17)*1)</f>
        <v/>
      </c>
    </row>
    <row r="18">
      <c r="A18" t="inlineStr">
        <is>
          <t>Operations</t>
        </is>
      </c>
      <c r="B18" t="inlineStr">
        <is>
          <t>Consulting</t>
        </is>
      </c>
      <c r="C18">
        <f>SUMPRODUCT(('Raw Data'!B2:B81=A18)*('Raw Data'!C2:C81=B18)*('Raw Data'!D2:D81))</f>
        <v/>
      </c>
      <c r="D18">
        <f>IF(E18&gt;0,C18/E18,0)</f>
        <v/>
      </c>
      <c r="E18">
        <f>SUMPRODUCT(('Raw Data'!B2:B81=A18)*('Raw Data'!C2:C81=B18)*1)</f>
        <v/>
      </c>
    </row>
    <row r="19">
      <c r="A19" t="inlineStr">
        <is>
          <t>Operations</t>
        </is>
      </c>
      <c r="B19" t="inlineStr">
        <is>
          <t>Hardware</t>
        </is>
      </c>
      <c r="C19">
        <f>SUMPRODUCT(('Raw Data'!B2:B81=A19)*('Raw Data'!C2:C81=B19)*('Raw Data'!D2:D81))</f>
        <v/>
      </c>
      <c r="D19">
        <f>IF(E19&gt;0,C19/E19,0)</f>
        <v/>
      </c>
      <c r="E19">
        <f>SUMPRODUCT(('Raw Data'!B2:B81=A19)*('Raw Data'!C2:C81=B19)*1)</f>
        <v/>
      </c>
    </row>
    <row r="20">
      <c r="A20" t="inlineStr">
        <is>
          <t>Operations</t>
        </is>
      </c>
      <c r="B20" t="inlineStr">
        <is>
          <t>Office Supplies</t>
        </is>
      </c>
      <c r="C20">
        <f>SUMPRODUCT(('Raw Data'!B2:B81=A20)*('Raw Data'!C2:C81=B20)*('Raw Data'!D2:D81))</f>
        <v/>
      </c>
      <c r="D20">
        <f>IF(E20&gt;0,C20/E20,0)</f>
        <v/>
      </c>
      <c r="E20">
        <f>SUMPRODUCT(('Raw Data'!B2:B81=A20)*('Raw Data'!C2:C81=B20)*1)</f>
        <v/>
      </c>
    </row>
    <row r="21">
      <c r="A21" t="inlineStr">
        <is>
          <t>Operations</t>
        </is>
      </c>
      <c r="B21" t="inlineStr">
        <is>
          <t>Software</t>
        </is>
      </c>
      <c r="C21">
        <f>SUMPRODUCT(('Raw Data'!B2:B81=A21)*('Raw Data'!C2:C81=B21)*('Raw Data'!D2:D81))</f>
        <v/>
      </c>
      <c r="D21">
        <f>IF(E21&gt;0,C21/E21,0)</f>
        <v/>
      </c>
      <c r="E21">
        <f>SUMPRODUCT(('Raw Data'!B2:B81=A21)*('Raw Data'!C2:C81=B21)*1)</f>
        <v/>
      </c>
    </row>
    <row r="22">
      <c r="A22" t="inlineStr">
        <is>
          <t>Operations</t>
        </is>
      </c>
      <c r="B22" t="inlineStr">
        <is>
          <t>Training</t>
        </is>
      </c>
      <c r="C22">
        <f>SUMPRODUCT(('Raw Data'!B2:B81=A22)*('Raw Data'!C2:C81=B22)*('Raw Data'!D2:D81))</f>
        <v/>
      </c>
      <c r="D22">
        <f>IF(E22&gt;0,C22/E22,0)</f>
        <v/>
      </c>
      <c r="E22">
        <f>SUMPRODUCT(('Raw Data'!B2:B81=A22)*('Raw Data'!C2:C81=B22)*1)</f>
        <v/>
      </c>
    </row>
    <row r="23">
      <c r="A23" t="inlineStr">
        <is>
          <t>Operations</t>
        </is>
      </c>
      <c r="B23" t="inlineStr">
        <is>
          <t>Travel</t>
        </is>
      </c>
      <c r="C23">
        <f>SUMPRODUCT(('Raw Data'!B2:B81=A23)*('Raw Data'!C2:C81=B23)*('Raw Data'!D2:D81))</f>
        <v/>
      </c>
      <c r="D23">
        <f>IF(E23&gt;0,C23/E23,0)</f>
        <v/>
      </c>
      <c r="E23">
        <f>SUMPRODUCT(('Raw Data'!B2:B81=A23)*('Raw Data'!C2:C81=B23)*1)</f>
        <v/>
      </c>
    </row>
    <row r="24">
      <c r="A24" t="inlineStr">
        <is>
          <t>Sales</t>
        </is>
      </c>
      <c r="B24" t="inlineStr">
        <is>
          <t>Consulting</t>
        </is>
      </c>
      <c r="C24">
        <f>SUMPRODUCT(('Raw Data'!B2:B81=A24)*('Raw Data'!C2:C81=B24)*('Raw Data'!D2:D81))</f>
        <v/>
      </c>
      <c r="D24">
        <f>IF(E24&gt;0,C24/E24,0)</f>
        <v/>
      </c>
      <c r="E24">
        <f>SUMPRODUCT(('Raw Data'!B2:B81=A24)*('Raw Data'!C2:C81=B24)*1)</f>
        <v/>
      </c>
    </row>
    <row r="25">
      <c r="A25" t="inlineStr">
        <is>
          <t>Sales</t>
        </is>
      </c>
      <c r="B25" t="inlineStr">
        <is>
          <t>Hardware</t>
        </is>
      </c>
      <c r="C25">
        <f>SUMPRODUCT(('Raw Data'!B2:B81=A25)*('Raw Data'!C2:C81=B25)*('Raw Data'!D2:D81))</f>
        <v/>
      </c>
      <c r="D25">
        <f>IF(E25&gt;0,C25/E25,0)</f>
        <v/>
      </c>
      <c r="E25">
        <f>SUMPRODUCT(('Raw Data'!B2:B81=A25)*('Raw Data'!C2:C81=B25)*1)</f>
        <v/>
      </c>
    </row>
    <row r="26">
      <c r="A26" t="inlineStr">
        <is>
          <t>Sales</t>
        </is>
      </c>
      <c r="B26" t="inlineStr">
        <is>
          <t>Office Supplies</t>
        </is>
      </c>
      <c r="C26">
        <f>SUMPRODUCT(('Raw Data'!B2:B81=A26)*('Raw Data'!C2:C81=B26)*('Raw Data'!D2:D81))</f>
        <v/>
      </c>
      <c r="D26">
        <f>IF(E26&gt;0,C26/E26,0)</f>
        <v/>
      </c>
      <c r="E26">
        <f>SUMPRODUCT(('Raw Data'!B2:B81=A26)*('Raw Data'!C2:C81=B26)*1)</f>
        <v/>
      </c>
    </row>
    <row r="27">
      <c r="A27" t="inlineStr">
        <is>
          <t>Sales</t>
        </is>
      </c>
      <c r="B27" t="inlineStr">
        <is>
          <t>Software</t>
        </is>
      </c>
      <c r="C27">
        <f>SUMPRODUCT(('Raw Data'!B2:B81=A27)*('Raw Data'!C2:C81=B27)*('Raw Data'!D2:D81))</f>
        <v/>
      </c>
      <c r="D27">
        <f>IF(E27&gt;0,C27/E27,0)</f>
        <v/>
      </c>
      <c r="E27">
        <f>SUMPRODUCT(('Raw Data'!B2:B81=A27)*('Raw Data'!C2:C81=B27)*1)</f>
        <v/>
      </c>
    </row>
    <row r="28">
      <c r="A28" t="inlineStr">
        <is>
          <t>Sales</t>
        </is>
      </c>
      <c r="B28" t="inlineStr">
        <is>
          <t>Training</t>
        </is>
      </c>
      <c r="C28">
        <f>SUMPRODUCT(('Raw Data'!B2:B81=A28)*('Raw Data'!C2:C81=B28)*('Raw Data'!D2:D81))</f>
        <v/>
      </c>
      <c r="D28">
        <f>IF(E28&gt;0,C28/E28,0)</f>
        <v/>
      </c>
      <c r="E28">
        <f>SUMPRODUCT(('Raw Data'!B2:B81=A28)*('Raw Data'!C2:C81=B28)*1)</f>
        <v/>
      </c>
    </row>
    <row r="29">
      <c r="A29" t="inlineStr">
        <is>
          <t>Sales</t>
        </is>
      </c>
      <c r="B29" t="inlineStr">
        <is>
          <t>Travel</t>
        </is>
      </c>
      <c r="C29">
        <f>SUMPRODUCT(('Raw Data'!B2:B81=A29)*('Raw Data'!C2:C81=B29)*('Raw Data'!D2:D81))</f>
        <v/>
      </c>
      <c r="D29">
        <f>IF(E29&gt;0,C29/E29,0)</f>
        <v/>
      </c>
      <c r="E29">
        <f>SUMPRODUCT(('Raw Data'!B2:B81=A29)*('Raw Data'!C2:C81=B29)*1)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2025-01</t>
        </is>
      </c>
      <c r="C1" t="inlineStr">
        <is>
          <t>2025-02</t>
        </is>
      </c>
      <c r="D1" t="inlineStr">
        <is>
          <t>2025-03</t>
        </is>
      </c>
      <c r="E1" t="inlineStr">
        <is>
          <t>2025-04</t>
        </is>
      </c>
      <c r="F1" t="inlineStr">
        <is>
          <t>2025-05</t>
        </is>
      </c>
      <c r="G1" t="inlineStr">
        <is>
          <t>2025-06</t>
        </is>
      </c>
      <c r="H1" t="inlineStr">
        <is>
          <t>2025-07</t>
        </is>
      </c>
      <c r="I1" t="inlineStr">
        <is>
          <t>2025-08</t>
        </is>
      </c>
      <c r="J1" t="inlineStr">
        <is>
          <t>2025-09</t>
        </is>
      </c>
      <c r="K1" t="inlineStr">
        <is>
          <t>2025-10</t>
        </is>
      </c>
      <c r="L1" t="inlineStr">
        <is>
          <t>2025-11</t>
        </is>
      </c>
      <c r="M1" t="inlineStr">
        <is>
          <t>2025-12</t>
        </is>
      </c>
    </row>
    <row r="2">
      <c r="A2" t="inlineStr">
        <is>
          <t>Engineering</t>
        </is>
      </c>
      <c r="B2">
        <f>SUMPRODUCT(('Raw Data'!B2:B81=A2)*(LEFT('Raw Data'!A2:A81,7)="2025-01")*('Raw Data'!D2:D81))</f>
        <v/>
      </c>
      <c r="C2">
        <f>SUMPRODUCT(('Raw Data'!B2:B81=A2)*(LEFT('Raw Data'!A2:A81,7)="2025-02")*('Raw Data'!D2:D81))</f>
        <v/>
      </c>
      <c r="D2">
        <f>SUMPRODUCT(('Raw Data'!B2:B81=A2)*(LEFT('Raw Data'!A2:A81,7)="2025-03")*('Raw Data'!D2:D81))</f>
        <v/>
      </c>
      <c r="E2">
        <f>SUMPRODUCT(('Raw Data'!B2:B81=A2)*(LEFT('Raw Data'!A2:A81,7)="2025-04")*('Raw Data'!D2:D81))</f>
        <v/>
      </c>
      <c r="F2">
        <f>SUMPRODUCT(('Raw Data'!B2:B81=A2)*(LEFT('Raw Data'!A2:A81,7)="2025-05")*('Raw Data'!D2:D81))</f>
        <v/>
      </c>
      <c r="G2">
        <f>SUMPRODUCT(('Raw Data'!B2:B81=A2)*(LEFT('Raw Data'!A2:A81,7)="2025-06")*('Raw Data'!D2:D81))</f>
        <v/>
      </c>
      <c r="H2">
        <f>SUMPRODUCT(('Raw Data'!B2:B81=A2)*(LEFT('Raw Data'!A2:A81,7)="2025-07")*('Raw Data'!D2:D81))</f>
        <v/>
      </c>
      <c r="I2">
        <f>SUMPRODUCT(('Raw Data'!B2:B81=A2)*(LEFT('Raw Data'!A2:A81,7)="2025-08")*('Raw Data'!D2:D81))</f>
        <v/>
      </c>
      <c r="J2">
        <f>SUMPRODUCT(('Raw Data'!B2:B81=A2)*(LEFT('Raw Data'!A2:A81,7)="2025-09")*('Raw Data'!D2:D81))</f>
        <v/>
      </c>
      <c r="K2">
        <f>SUMPRODUCT(('Raw Data'!B2:B81=A2)*(LEFT('Raw Data'!A2:A81,7)="2025-10")*('Raw Data'!D2:D81))</f>
        <v/>
      </c>
      <c r="L2">
        <f>SUMPRODUCT(('Raw Data'!B2:B81=A2)*(LEFT('Raw Data'!A2:A81,7)="2025-11")*('Raw Data'!D2:D81))</f>
        <v/>
      </c>
      <c r="M2">
        <f>SUMPRODUCT(('Raw Data'!B2:B81=A2)*(LEFT('Raw Data'!A2:A81,7)="2025-12")*('Raw Data'!D2:D81))</f>
        <v/>
      </c>
    </row>
    <row r="3">
      <c r="A3" t="inlineStr">
        <is>
          <t>Marketing</t>
        </is>
      </c>
      <c r="B3">
        <f>SUMPRODUCT(('Raw Data'!B2:B81=A3)*(LEFT('Raw Data'!A2:A81,7)="2025-01")*('Raw Data'!D2:D81))</f>
        <v/>
      </c>
      <c r="C3">
        <f>SUMPRODUCT(('Raw Data'!B2:B81=A3)*(LEFT('Raw Data'!A2:A81,7)="2025-02")*('Raw Data'!D2:D81))</f>
        <v/>
      </c>
      <c r="D3">
        <f>SUMPRODUCT(('Raw Data'!B2:B81=A3)*(LEFT('Raw Data'!A2:A81,7)="2025-03")*('Raw Data'!D2:D81))</f>
        <v/>
      </c>
      <c r="E3">
        <f>SUMPRODUCT(('Raw Data'!B2:B81=A3)*(LEFT('Raw Data'!A2:A81,7)="2025-04")*('Raw Data'!D2:D81))</f>
        <v/>
      </c>
      <c r="F3">
        <f>SUMPRODUCT(('Raw Data'!B2:B81=A3)*(LEFT('Raw Data'!A2:A81,7)="2025-05")*('Raw Data'!D2:D81))</f>
        <v/>
      </c>
      <c r="G3">
        <f>SUMPRODUCT(('Raw Data'!B2:B81=A3)*(LEFT('Raw Data'!A2:A81,7)="2025-06")*('Raw Data'!D2:D81))</f>
        <v/>
      </c>
      <c r="H3">
        <f>SUMPRODUCT(('Raw Data'!B2:B81=A3)*(LEFT('Raw Data'!A2:A81,7)="2025-07")*('Raw Data'!D2:D81))</f>
        <v/>
      </c>
      <c r="I3">
        <f>SUMPRODUCT(('Raw Data'!B2:B81=A3)*(LEFT('Raw Data'!A2:A81,7)="2025-08")*('Raw Data'!D2:D81))</f>
        <v/>
      </c>
      <c r="J3">
        <f>SUMPRODUCT(('Raw Data'!B2:B81=A3)*(LEFT('Raw Data'!A2:A81,7)="2025-09")*('Raw Data'!D2:D81))</f>
        <v/>
      </c>
      <c r="K3">
        <f>SUMPRODUCT(('Raw Data'!B2:B81=A3)*(LEFT('Raw Data'!A2:A81,7)="2025-10")*('Raw Data'!D2:D81))</f>
        <v/>
      </c>
      <c r="L3">
        <f>SUMPRODUCT(('Raw Data'!B2:B81=A3)*(LEFT('Raw Data'!A2:A81,7)="2025-11")*('Raw Data'!D2:D81))</f>
        <v/>
      </c>
      <c r="M3">
        <f>SUMPRODUCT(('Raw Data'!B2:B81=A3)*(LEFT('Raw Data'!A2:A81,7)="2025-12")*('Raw Data'!D2:D81))</f>
        <v/>
      </c>
    </row>
    <row r="4">
      <c r="A4" t="inlineStr">
        <is>
          <t>Sales</t>
        </is>
      </c>
      <c r="B4">
        <f>SUMPRODUCT(('Raw Data'!B2:B81=A4)*(LEFT('Raw Data'!A2:A81,7)="2025-01")*('Raw Data'!D2:D81))</f>
        <v/>
      </c>
      <c r="C4">
        <f>SUMPRODUCT(('Raw Data'!B2:B81=A4)*(LEFT('Raw Data'!A2:A81,7)="2025-02")*('Raw Data'!D2:D81))</f>
        <v/>
      </c>
      <c r="D4">
        <f>SUMPRODUCT(('Raw Data'!B2:B81=A4)*(LEFT('Raw Data'!A2:A81,7)="2025-03")*('Raw Data'!D2:D81))</f>
        <v/>
      </c>
      <c r="E4">
        <f>SUMPRODUCT(('Raw Data'!B2:B81=A4)*(LEFT('Raw Data'!A2:A81,7)="2025-04")*('Raw Data'!D2:D81))</f>
        <v/>
      </c>
      <c r="F4">
        <f>SUMPRODUCT(('Raw Data'!B2:B81=A4)*(LEFT('Raw Data'!A2:A81,7)="2025-05")*('Raw Data'!D2:D81))</f>
        <v/>
      </c>
      <c r="G4">
        <f>SUMPRODUCT(('Raw Data'!B2:B81=A4)*(LEFT('Raw Data'!A2:A81,7)="2025-06")*('Raw Data'!D2:D81))</f>
        <v/>
      </c>
      <c r="H4">
        <f>SUMPRODUCT(('Raw Data'!B2:B81=A4)*(LEFT('Raw Data'!A2:A81,7)="2025-07")*('Raw Data'!D2:D81))</f>
        <v/>
      </c>
      <c r="I4">
        <f>SUMPRODUCT(('Raw Data'!B2:B81=A4)*(LEFT('Raw Data'!A2:A81,7)="2025-08")*('Raw Data'!D2:D81))</f>
        <v/>
      </c>
      <c r="J4">
        <f>SUMPRODUCT(('Raw Data'!B2:B81=A4)*(LEFT('Raw Data'!A2:A81,7)="2025-09")*('Raw Data'!D2:D81))</f>
        <v/>
      </c>
      <c r="K4">
        <f>SUMPRODUCT(('Raw Data'!B2:B81=A4)*(LEFT('Raw Data'!A2:A81,7)="2025-10")*('Raw Data'!D2:D81))</f>
        <v/>
      </c>
      <c r="L4">
        <f>SUMPRODUCT(('Raw Data'!B2:B81=A4)*(LEFT('Raw Data'!A2:A81,7)="2025-11")*('Raw Data'!D2:D81))</f>
        <v/>
      </c>
      <c r="M4">
        <f>SUMPRODUCT(('Raw Data'!B2:B81=A4)*(LEFT('Raw Data'!A2:A81,7)="2025-12")*('Raw Data'!D2:D81))</f>
        <v/>
      </c>
    </row>
    <row r="5">
      <c r="A5" t="inlineStr">
        <is>
          <t>Operations</t>
        </is>
      </c>
      <c r="B5">
        <f>SUMPRODUCT(('Raw Data'!B2:B81=A5)*(LEFT('Raw Data'!A2:A81,7)="2025-01")*('Raw Data'!D2:D81))</f>
        <v/>
      </c>
      <c r="C5">
        <f>SUMPRODUCT(('Raw Data'!B2:B81=A5)*(LEFT('Raw Data'!A2:A81,7)="2025-02")*('Raw Data'!D2:D81))</f>
        <v/>
      </c>
      <c r="D5">
        <f>SUMPRODUCT(('Raw Data'!B2:B81=A5)*(LEFT('Raw Data'!A2:A81,7)="2025-03")*('Raw Data'!D2:D81))</f>
        <v/>
      </c>
      <c r="E5">
        <f>SUMPRODUCT(('Raw Data'!B2:B81=A5)*(LEFT('Raw Data'!A2:A81,7)="2025-04")*('Raw Data'!D2:D81))</f>
        <v/>
      </c>
      <c r="F5">
        <f>SUMPRODUCT(('Raw Data'!B2:B81=A5)*(LEFT('Raw Data'!A2:A81,7)="2025-05")*('Raw Data'!D2:D81))</f>
        <v/>
      </c>
      <c r="G5">
        <f>SUMPRODUCT(('Raw Data'!B2:B81=A5)*(LEFT('Raw Data'!A2:A81,7)="2025-06")*('Raw Data'!D2:D81))</f>
        <v/>
      </c>
      <c r="H5">
        <f>SUMPRODUCT(('Raw Data'!B2:B81=A5)*(LEFT('Raw Data'!A2:A81,7)="2025-07")*('Raw Data'!D2:D81))</f>
        <v/>
      </c>
      <c r="I5">
        <f>SUMPRODUCT(('Raw Data'!B2:B81=A5)*(LEFT('Raw Data'!A2:A81,7)="2025-08")*('Raw Data'!D2:D81))</f>
        <v/>
      </c>
      <c r="J5">
        <f>SUMPRODUCT(('Raw Data'!B2:B81=A5)*(LEFT('Raw Data'!A2:A81,7)="2025-09")*('Raw Data'!D2:D81))</f>
        <v/>
      </c>
      <c r="K5">
        <f>SUMPRODUCT(('Raw Data'!B2:B81=A5)*(LEFT('Raw Data'!A2:A81,7)="2025-10")*('Raw Data'!D2:D81))</f>
        <v/>
      </c>
      <c r="L5">
        <f>SUMPRODUCT(('Raw Data'!B2:B81=A5)*(LEFT('Raw Data'!A2:A81,7)="2025-11")*('Raw Data'!D2:D81))</f>
        <v/>
      </c>
      <c r="M5">
        <f>SUMPRODUCT(('Raw Data'!B2:B81=A5)*(LEFT('Raw Data'!A2:A81,7)="2025-12")*('Raw Data'!D2:D81))</f>
        <v/>
      </c>
    </row>
    <row r="6">
      <c r="A6" t="inlineStr">
        <is>
          <t>Finance</t>
        </is>
      </c>
      <c r="B6">
        <f>SUMPRODUCT(('Raw Data'!B2:B81=A6)*(LEFT('Raw Data'!A2:A81,7)="2025-01")*('Raw Data'!D2:D81))</f>
        <v/>
      </c>
      <c r="C6">
        <f>SUMPRODUCT(('Raw Data'!B2:B81=A6)*(LEFT('Raw Data'!A2:A81,7)="2025-02")*('Raw Data'!D2:D81))</f>
        <v/>
      </c>
      <c r="D6">
        <f>SUMPRODUCT(('Raw Data'!B2:B81=A6)*(LEFT('Raw Data'!A2:A81,7)="2025-03")*('Raw Data'!D2:D81))</f>
        <v/>
      </c>
      <c r="E6">
        <f>SUMPRODUCT(('Raw Data'!B2:B81=A6)*(LEFT('Raw Data'!A2:A81,7)="2025-04")*('Raw Data'!D2:D81))</f>
        <v/>
      </c>
      <c r="F6">
        <f>SUMPRODUCT(('Raw Data'!B2:B81=A6)*(LEFT('Raw Data'!A2:A81,7)="2025-05")*('Raw Data'!D2:D81))</f>
        <v/>
      </c>
      <c r="G6">
        <f>SUMPRODUCT(('Raw Data'!B2:B81=A6)*(LEFT('Raw Data'!A2:A81,7)="2025-06")*('Raw Data'!D2:D81))</f>
        <v/>
      </c>
      <c r="H6">
        <f>SUMPRODUCT(('Raw Data'!B2:B81=A6)*(LEFT('Raw Data'!A2:A81,7)="2025-07")*('Raw Data'!D2:D81))</f>
        <v/>
      </c>
      <c r="I6">
        <f>SUMPRODUCT(('Raw Data'!B2:B81=A6)*(LEFT('Raw Data'!A2:A81,7)="2025-08")*('Raw Data'!D2:D81))</f>
        <v/>
      </c>
      <c r="J6">
        <f>SUMPRODUCT(('Raw Data'!B2:B81=A6)*(LEFT('Raw Data'!A2:A81,7)="2025-09")*('Raw Data'!D2:D81))</f>
        <v/>
      </c>
      <c r="K6">
        <f>SUMPRODUCT(('Raw Data'!B2:B81=A6)*(LEFT('Raw Data'!A2:A81,7)="2025-10")*('Raw Data'!D2:D81))</f>
        <v/>
      </c>
      <c r="L6">
        <f>SUMPRODUCT(('Raw Data'!B2:B81=A6)*(LEFT('Raw Data'!A2:A81,7)="2025-11")*('Raw Data'!D2:D81))</f>
        <v/>
      </c>
      <c r="M6">
        <f>SUMPRODUCT(('Raw Data'!B2:B81=A6)*(LEFT('Raw Data'!A2:A81,7)="2025-12")*('Raw Data'!D2:D81))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2026-03-31T07:13:33Z</dcterms:created>
  <dcterms:modified xmlns:dcterms="http://purl.org/dc/terms/" xmlns:xsi="http://www.w3.org/2001/XMLSchema-instance" xsi:type="dcterms:W3CDTF">2026-03-31T07:13:33Z</dcterms:modified>
</cp:coreProperties>
</file>